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uda\Documents\data projects\Red Dragon\"/>
    </mc:Choice>
  </mc:AlternateContent>
  <xr:revisionPtr revIDLastSave="0" documentId="13_ncr:1_{4DF45DF3-EFCA-4DEB-8A3A-FCCA9E22616C}" xr6:coauthVersionLast="47" xr6:coauthVersionMax="47" xr10:uidLastSave="{00000000-0000-0000-0000-000000000000}"/>
  <bookViews>
    <workbookView xWindow="-28020" yWindow="2070" windowWidth="21600" windowHeight="11835" xr2:uid="{AC7CC892-4855-4C62-8152-3C111DB990BB}"/>
  </bookViews>
  <sheets>
    <sheet name="Sheet1" sheetId="1" r:id="rId1"/>
    <sheet name="comparison and MA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 s="1"/>
  <c r="E3" i="2"/>
  <c r="E4" i="2"/>
  <c r="E5" i="2"/>
  <c r="E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<sst xmlns="http://schemas.openxmlformats.org/spreadsheetml/2006/main" count="11" uniqueCount="11">
  <si>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Period Actual Start Date</t>
  </si>
  <si>
    <t>App Variance</t>
  </si>
  <si>
    <t>Period App Prediction Start Date</t>
  </si>
  <si>
    <t>Cycle Length</t>
  </si>
  <si>
    <t>app</t>
  </si>
  <si>
    <t>actual</t>
  </si>
  <si>
    <t>arima</t>
  </si>
  <si>
    <t>app variance</t>
  </si>
  <si>
    <t>arima variance</t>
  </si>
  <si>
    <t>arima MAE</t>
  </si>
  <si>
    <t>app 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</si>
</sst>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2BDD-4349-4530-B82A-6EDFEB73BB57}">
  <dimension ref="A1:F17"/>
  <sheetViews>
    <sheetView tabSelected="1" workbookViewId="0">
      <selection activeCell="F2" sqref="F2"/>
    </sheetView>
  </sheetViews>
  <sheetFormatPr defaultRowHeight="15" x14ac:dyDescent="0.25"/>
  <cols>
    <col min="1" max="1" width="29.28515625" style="2" bestFit="1" customWidth="1"/>
    <col min="2" max="2" width="23.7109375" style="2" customWidth="1"/>
    <col min="4" max="4" width="17" customWidth="1"/>
    <col min="6" max="6" width="9.7109375" bestFit="1" customWidth="1"/>
  </cols>
  <sheetData>
    <row r="1" spans="1:6" x14ac:dyDescent="0.25">
      <c r="A1" s="3" t="s">
        <v>2</v>
      </c>
      <c r="B1" s="3" t="s">
        <v>0</v>
      </c>
      <c r="C1" s="1" t="s">
        <v>1</v>
      </c>
      <c r="D1" t="s">
        <v>3</v>
      </c>
    </row>
    <row r="2" spans="1:6" x14ac:dyDescent="0.25">
      <c r="A2" s="3">
        <v>45737</v>
      </c>
      <c r="B2" s="3">
        <v>45741</v>
      </c>
      <c r="C2" s="1">
        <v>4</v>
      </c>
      <c r="D2" s="5">
        <v>30</v>
      </c>
      <c r="F2" s="4"/>
    </row>
    <row r="3" spans="1:6" x14ac:dyDescent="0.25">
      <c r="A3" s="3">
        <v>45768</v>
      </c>
      <c r="B3" s="3">
        <v>45768</v>
      </c>
      <c r="C3" s="1">
        <v>0</v>
      </c>
      <c r="D3">
        <v>27</v>
      </c>
    </row>
    <row r="4" spans="1:6" x14ac:dyDescent="0.25">
      <c r="A4" s="3">
        <v>45795</v>
      </c>
      <c r="B4" s="3">
        <v>45793</v>
      </c>
      <c r="C4" s="1">
        <v>-2</v>
      </c>
      <c r="D4">
        <v>25</v>
      </c>
    </row>
    <row r="5" spans="1:6" x14ac:dyDescent="0.25">
      <c r="A5" s="3">
        <v>45820</v>
      </c>
      <c r="B5" s="3">
        <v>45822</v>
      </c>
      <c r="C5" s="1">
        <v>2</v>
      </c>
      <c r="D5">
        <v>29</v>
      </c>
    </row>
    <row r="6" spans="1:6" x14ac:dyDescent="0.25">
      <c r="A6" s="3">
        <v>45849</v>
      </c>
      <c r="B6" s="3">
        <v>45847</v>
      </c>
      <c r="C6" s="1">
        <v>-2</v>
      </c>
      <c r="D6">
        <v>25</v>
      </c>
    </row>
    <row r="7" spans="1:6" x14ac:dyDescent="0.25">
      <c r="A7" s="3">
        <v>45874</v>
      </c>
      <c r="B7" s="3">
        <v>45872</v>
      </c>
      <c r="C7" s="1">
        <v>-2</v>
      </c>
      <c r="D7">
        <v>25</v>
      </c>
    </row>
    <row r="8" spans="1:6" x14ac:dyDescent="0.25">
      <c r="A8" s="3">
        <v>45898</v>
      </c>
      <c r="B8" s="3">
        <v>45898</v>
      </c>
      <c r="C8" s="1">
        <v>0</v>
      </c>
      <c r="D8">
        <v>26</v>
      </c>
    </row>
    <row r="9" spans="1:6" x14ac:dyDescent="0.25">
      <c r="A9" s="3">
        <v>45924</v>
      </c>
      <c r="B9" s="3">
        <v>45931</v>
      </c>
      <c r="C9" s="1">
        <v>7</v>
      </c>
      <c r="D9">
        <v>33</v>
      </c>
    </row>
    <row r="10" spans="1:6" x14ac:dyDescent="0.25">
      <c r="A10" s="3">
        <v>45959</v>
      </c>
      <c r="B10" s="3">
        <v>45955</v>
      </c>
      <c r="C10" s="1">
        <v>-4</v>
      </c>
      <c r="D10">
        <v>24</v>
      </c>
    </row>
    <row r="11" spans="1:6" x14ac:dyDescent="0.25">
      <c r="A11" s="3">
        <v>45982</v>
      </c>
      <c r="B11" s="3">
        <v>45985</v>
      </c>
      <c r="C11" s="1">
        <v>3</v>
      </c>
      <c r="D11">
        <v>30</v>
      </c>
    </row>
    <row r="12" spans="1:6" x14ac:dyDescent="0.25">
      <c r="A12" s="3">
        <v>46013</v>
      </c>
      <c r="B12" s="3">
        <v>46011</v>
      </c>
      <c r="C12" s="1">
        <v>-2</v>
      </c>
      <c r="D12">
        <v>26</v>
      </c>
    </row>
    <row r="13" spans="1:6" x14ac:dyDescent="0.25">
      <c r="A13" s="3">
        <v>46039</v>
      </c>
      <c r="B13" s="3">
        <v>46038</v>
      </c>
      <c r="C13" s="1">
        <v>-1</v>
      </c>
      <c r="D13">
        <v>27</v>
      </c>
    </row>
    <row r="14" spans="1:6" x14ac:dyDescent="0.25">
      <c r="A14" s="3">
        <v>46066</v>
      </c>
      <c r="B14" s="3">
        <v>46066</v>
      </c>
      <c r="C14" s="1">
        <v>0</v>
      </c>
      <c r="D14">
        <v>28</v>
      </c>
    </row>
    <row r="15" spans="1:6" x14ac:dyDescent="0.25">
      <c r="A15" s="3">
        <v>46095</v>
      </c>
      <c r="B15" s="3">
        <v>46093</v>
      </c>
      <c r="C15" s="1">
        <v>-2</v>
      </c>
      <c r="D15">
        <v>27</v>
      </c>
    </row>
    <row r="16" spans="1:6" x14ac:dyDescent="0.25">
      <c r="A16" s="3">
        <v>46121</v>
      </c>
      <c r="B16" s="3">
        <v>46119</v>
      </c>
      <c r="C16" s="1">
        <v>-2</v>
      </c>
      <c r="D16">
        <v>26</v>
      </c>
    </row>
    <row r="17" spans="1:4" x14ac:dyDescent="0.25">
      <c r="A17" s="3">
        <v>46146</v>
      </c>
      <c r="B17" s="3">
        <v>46145</v>
      </c>
      <c r="C17" s="1">
        <v>-1</v>
      </c>
      <c r="D17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7576-464B-466C-BD4A-291C8885C9E0}">
  <dimension ref="A1:H5"/>
  <sheetViews>
    <sheetView workbookViewId="0">
      <selection activeCell="F10" sqref="F10"/>
    </sheetView>
  </sheetViews>
  <sheetFormatPr defaultRowHeight="15" x14ac:dyDescent="0.25"/>
  <cols>
    <col min="1" max="1" width="9.7109375" bestFit="1" customWidth="1"/>
  </cols>
  <sheetData>
    <row r="1" spans="1:8" x14ac:dyDescent="0.25">
      <c r="A1" t="s">
        <v>6</v>
      </c>
      <c r="B1" t="s">
        <v>4</v>
      </c>
      <c r="C1" t="s">
        <v>5</v>
      </c>
      <c r="D1" t="s">
        <v>7</v>
      </c>
      <c r="E1" t="s">
        <v>8</v>
      </c>
      <c r="G1" t="s">
        <v>9</v>
      </c>
      <c r="H1" t="s">
        <v>10</v>
      </c>
    </row>
    <row r="2" spans="1:8" x14ac:dyDescent="0.25">
      <c r="A2" s="2">
        <v>46066</v>
      </c>
      <c r="B2" s="3">
        <v>46066</v>
      </c>
      <c r="C2" s="3">
        <v>46066</v>
      </c>
      <c r="D2" s="1">
        <v>0</v>
      </c>
      <c r="E2">
        <f>C2-A2</f>
        <v>0</v>
      </c>
      <c r="G2" cm="1">
        <f t="array" ref="G2">AVERAGE(ABS(C2:C5 - A2:A5))</f>
        <v>0.5</v>
      </c>
      <c r="H2" cm="1">
        <f t="array" ref="H2">AVERAGE(ABS(C2:C5 - B2:B5))</f>
        <v>1.25</v>
      </c>
    </row>
    <row r="3" spans="1:8" x14ac:dyDescent="0.25">
      <c r="A3" s="2">
        <v>46092</v>
      </c>
      <c r="B3" s="3">
        <v>46095</v>
      </c>
      <c r="C3" s="3">
        <v>46093</v>
      </c>
      <c r="D3" s="1">
        <v>-2</v>
      </c>
      <c r="E3">
        <f t="shared" ref="E3:E5" si="0">C3-A3</f>
        <v>1</v>
      </c>
    </row>
    <row r="4" spans="1:8" x14ac:dyDescent="0.25">
      <c r="A4" s="2">
        <v>46119</v>
      </c>
      <c r="B4" s="3">
        <v>46121</v>
      </c>
      <c r="C4" s="3">
        <v>46119</v>
      </c>
      <c r="D4" s="1">
        <v>-2</v>
      </c>
      <c r="E4">
        <f t="shared" si="0"/>
        <v>0</v>
      </c>
    </row>
    <row r="5" spans="1:8" x14ac:dyDescent="0.25">
      <c r="A5" s="2">
        <v>46146</v>
      </c>
      <c r="B5" s="3">
        <v>46146</v>
      </c>
      <c r="C5" s="3">
        <v>46145</v>
      </c>
      <c r="D5" s="1">
        <v>-1</v>
      </c>
      <c r="E5">
        <f t="shared" si="0"/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comparison and MAE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Nash</dc:creator>
  <cp:lastModifiedBy>Marissa Nash</cp:lastModifiedBy>
  <dcterms:created xsi:type="dcterms:W3CDTF">2026-05-20T19:56:10Z</dcterms:created>
  <dcterms:modified xsi:type="dcterms:W3CDTF">2026-05-21T18:23:16Z</dcterms:modified>
</cp:coreProperties>
</file>